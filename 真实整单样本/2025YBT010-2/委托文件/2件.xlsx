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12-10-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<sst xmlns="http://schemas.openxmlformats.org/spreadsheetml/2006/main" count="64" uniqueCount="59">
  <si>
    <r>
      <rPr>
        <b/>
        <sz val="10"/>
        <rFont val="Times New Roman"/>
        <charset val="134"/>
      </rPr>
      <t xml:space="preserve">                                                                                                      </t>
    </r>
    <r>
      <rPr>
        <b/>
        <sz val="10"/>
        <rFont val="宋体"/>
        <charset val="134"/>
      </rPr>
      <t>业</t>
    </r>
    <r>
      <rPr>
        <b/>
        <sz val="10"/>
        <rFont val="Times New Roman"/>
        <charset val="134"/>
      </rPr>
      <t xml:space="preserve">    </t>
    </r>
    <r>
      <rPr>
        <b/>
        <sz val="10"/>
        <rFont val="宋体"/>
        <charset val="134"/>
      </rPr>
      <t>务</t>
    </r>
    <r>
      <rPr>
        <b/>
        <sz val="10"/>
        <rFont val="Times New Roman"/>
        <charset val="134"/>
      </rPr>
      <t xml:space="preserve">    </t>
    </r>
    <r>
      <rPr>
        <b/>
        <sz val="10"/>
        <rFont val="宋体"/>
        <charset val="134"/>
      </rPr>
      <t>委</t>
    </r>
    <r>
      <rPr>
        <b/>
        <sz val="10"/>
        <rFont val="Times New Roman"/>
        <charset val="134"/>
      </rPr>
      <t xml:space="preserve">    </t>
    </r>
    <r>
      <rPr>
        <b/>
        <sz val="10"/>
        <rFont val="宋体"/>
        <charset val="134"/>
      </rPr>
      <t>托</t>
    </r>
    <r>
      <rPr>
        <b/>
        <sz val="10"/>
        <rFont val="Times New Roman"/>
        <charset val="134"/>
      </rPr>
      <t xml:space="preserve">    </t>
    </r>
    <r>
      <rPr>
        <b/>
        <sz val="10"/>
        <rFont val="宋体"/>
        <charset val="134"/>
      </rPr>
      <t>确</t>
    </r>
    <r>
      <rPr>
        <b/>
        <sz val="10"/>
        <rFont val="Times New Roman"/>
        <charset val="134"/>
      </rPr>
      <t xml:space="preserve">    </t>
    </r>
    <r>
      <rPr>
        <b/>
        <sz val="10"/>
        <rFont val="宋体"/>
        <charset val="134"/>
      </rPr>
      <t>认</t>
    </r>
    <r>
      <rPr>
        <b/>
        <sz val="10"/>
        <rFont val="Times New Roman"/>
        <charset val="134"/>
      </rPr>
      <t xml:space="preserve">    </t>
    </r>
    <r>
      <rPr>
        <b/>
        <sz val="10"/>
        <rFont val="宋体"/>
        <charset val="134"/>
      </rPr>
      <t>单</t>
    </r>
    <r>
      <rPr>
        <b/>
        <sz val="10"/>
        <rFont val="Times New Roman"/>
        <charset val="134"/>
      </rPr>
      <t xml:space="preserve">                                                        </t>
    </r>
    <r>
      <rPr>
        <b/>
        <sz val="10"/>
        <rFont val="宋体"/>
        <charset val="134"/>
      </rPr>
      <t>最适合您的供应链管家</t>
    </r>
  </si>
  <si>
    <t xml:space="preserve">      C  O  N  F  I  R  M A  T  I  O  N</t>
  </si>
  <si>
    <t>委托方：</t>
  </si>
  <si>
    <t>英堡科技（深圳）有限公司</t>
  </si>
  <si>
    <t>合同号：</t>
  </si>
  <si>
    <t>2025YBT010-2</t>
  </si>
  <si>
    <t>代理方：</t>
  </si>
  <si>
    <t>深圳市九立供应链股份有限公司</t>
  </si>
  <si>
    <t>日期：</t>
  </si>
  <si>
    <t>业务类型：</t>
  </si>
  <si>
    <r>
      <rPr>
        <sz val="10"/>
        <rFont val="Wingdings 2"/>
        <charset val="2"/>
      </rPr>
      <t>R</t>
    </r>
    <r>
      <rPr>
        <sz val="10"/>
        <rFont val="宋体"/>
        <charset val="134"/>
      </rPr>
      <t>进口</t>
    </r>
  </si>
  <si>
    <t>□出口</t>
  </si>
  <si>
    <t>□香港销售</t>
  </si>
  <si>
    <t>□其他</t>
  </si>
  <si>
    <t>序号</t>
  </si>
  <si>
    <t>货物名称</t>
  </si>
  <si>
    <t>品牌</t>
  </si>
  <si>
    <t>型号</t>
  </si>
  <si>
    <t>参数</t>
  </si>
  <si>
    <t>产地</t>
  </si>
  <si>
    <t>单位</t>
  </si>
  <si>
    <t>数量(PCS)</t>
  </si>
  <si>
    <r>
      <rPr>
        <b/>
        <sz val="10"/>
        <rFont val="宋体"/>
        <charset val="134"/>
      </rPr>
      <t>报关单价（</t>
    </r>
    <r>
      <rPr>
        <b/>
        <sz val="10"/>
        <rFont val="Times New Roman"/>
        <charset val="134"/>
      </rPr>
      <t>USD</t>
    </r>
    <r>
      <rPr>
        <b/>
        <sz val="10"/>
        <rFont val="宋体"/>
        <charset val="134"/>
      </rPr>
      <t>）</t>
    </r>
  </si>
  <si>
    <r>
      <rPr>
        <b/>
        <sz val="10"/>
        <rFont val="宋体"/>
        <charset val="134"/>
      </rPr>
      <t>报关总价（</t>
    </r>
    <r>
      <rPr>
        <b/>
        <sz val="10"/>
        <rFont val="Times New Roman"/>
        <charset val="134"/>
      </rPr>
      <t>USD</t>
    </r>
    <r>
      <rPr>
        <b/>
        <sz val="10"/>
        <rFont val="宋体"/>
        <charset val="134"/>
      </rPr>
      <t>）</t>
    </r>
    <r>
      <rPr>
        <b/>
        <sz val="10"/>
        <rFont val="Times New Roman"/>
        <charset val="134"/>
      </rPr>
      <t xml:space="preserve">   FOB</t>
    </r>
    <r>
      <rPr>
        <b/>
        <sz val="10"/>
        <rFont val="宋体"/>
        <charset val="134"/>
      </rPr>
      <t>香港</t>
    </r>
  </si>
  <si>
    <t>箱数</t>
  </si>
  <si>
    <t>净重(KG)</t>
  </si>
  <si>
    <t>毛重(KG)</t>
  </si>
  <si>
    <t>预计付汇时间</t>
  </si>
  <si>
    <t>备注</t>
  </si>
  <si>
    <t>晶圆</t>
  </si>
  <si>
    <t>SK HYNIX</t>
  </si>
  <si>
    <t>H25G9TCXXCX702A#9</t>
  </si>
  <si>
    <t>64GB ink Die已蚀刻、已切割，已测试，未封装晶圆，非易失性</t>
  </si>
  <si>
    <t>韩国</t>
  </si>
  <si>
    <t>个</t>
  </si>
  <si>
    <t>D25G9TCX8CX239C#D</t>
  </si>
  <si>
    <r>
      <rPr>
        <b/>
        <sz val="10"/>
        <rFont val="宋体"/>
        <charset val="134"/>
      </rPr>
      <t xml:space="preserve">合 </t>
    </r>
    <r>
      <rPr>
        <b/>
        <sz val="10"/>
        <rFont val="宋体"/>
        <charset val="134"/>
      </rPr>
      <t xml:space="preserve"> </t>
    </r>
    <r>
      <rPr>
        <b/>
        <sz val="10"/>
        <rFont val="宋体"/>
        <charset val="134"/>
      </rPr>
      <t>计：</t>
    </r>
  </si>
  <si>
    <t>说明：</t>
  </si>
  <si>
    <r>
      <rPr>
        <sz val="10"/>
        <rFont val="Times New Roman"/>
        <charset val="134"/>
      </rPr>
      <t>1</t>
    </r>
    <r>
      <rPr>
        <sz val="10"/>
        <rFont val="宋体"/>
        <charset val="134"/>
      </rPr>
      <t>）</t>
    </r>
    <r>
      <rPr>
        <sz val="10"/>
        <rFont val="Times New Roman"/>
        <charset val="134"/>
      </rPr>
      <t xml:space="preserve"> </t>
    </r>
    <r>
      <rPr>
        <sz val="10"/>
        <rFont val="宋体"/>
        <charset val="134"/>
      </rPr>
      <t>请选择香港交货方式：</t>
    </r>
  </si>
  <si>
    <r>
      <rPr>
        <sz val="10"/>
        <rFont val="宋体"/>
        <charset val="134"/>
      </rPr>
      <t>□</t>
    </r>
    <r>
      <rPr>
        <sz val="10"/>
        <rFont val="Times New Roman"/>
        <charset val="134"/>
      </rPr>
      <t xml:space="preserve"> </t>
    </r>
    <r>
      <rPr>
        <sz val="10"/>
        <rFont val="宋体"/>
        <charset val="134"/>
      </rPr>
      <t>送至代理方香港仓库</t>
    </r>
  </si>
  <si>
    <r>
      <rPr>
        <sz val="10"/>
        <rFont val="Wingdings 2"/>
        <charset val="2"/>
      </rPr>
      <t>R</t>
    </r>
    <r>
      <rPr>
        <sz val="10"/>
        <rFont val="宋体"/>
        <charset val="134"/>
      </rPr>
      <t>委托代理方代为提货</t>
    </r>
  </si>
  <si>
    <r>
      <rPr>
        <sz val="10"/>
        <rFont val="Times New Roman"/>
        <charset val="134"/>
      </rPr>
      <t xml:space="preserve">       </t>
    </r>
    <r>
      <rPr>
        <sz val="10"/>
        <rFont val="宋体"/>
        <charset val="134"/>
      </rPr>
      <t>请选择国内交货方式：</t>
    </r>
  </si>
  <si>
    <t>□客户在代理方深圳仓库自提</t>
  </si>
  <si>
    <r>
      <rPr>
        <sz val="10"/>
        <rFont val="Wingdings 2"/>
        <charset val="2"/>
      </rPr>
      <t>R</t>
    </r>
    <r>
      <rPr>
        <sz val="10"/>
        <rFont val="宋体"/>
        <charset val="134"/>
      </rPr>
      <t>运输至客户指定地点</t>
    </r>
  </si>
  <si>
    <t>□代为客户办理国内运输</t>
  </si>
  <si>
    <r>
      <rPr>
        <sz val="10"/>
        <rFont val="Times New Roman"/>
        <charset val="134"/>
      </rPr>
      <t xml:space="preserve">       </t>
    </r>
    <r>
      <rPr>
        <sz val="10"/>
        <rFont val="宋体"/>
        <charset val="134"/>
      </rPr>
      <t>请选择国内运输方式：</t>
    </r>
  </si>
  <si>
    <t>□航空</t>
  </si>
  <si>
    <r>
      <rPr>
        <sz val="10"/>
        <rFont val="Wingdings 2"/>
        <charset val="2"/>
      </rPr>
      <t>R</t>
    </r>
    <r>
      <rPr>
        <sz val="10"/>
        <rFont val="宋体"/>
        <charset val="134"/>
      </rPr>
      <t>汽运</t>
    </r>
  </si>
  <si>
    <t>□铁运</t>
  </si>
  <si>
    <t>是否购买保险：</t>
  </si>
  <si>
    <t>□是</t>
  </si>
  <si>
    <t>□否</t>
  </si>
  <si>
    <r>
      <rPr>
        <sz val="10"/>
        <rFont val="Times New Roman"/>
        <charset val="134"/>
      </rPr>
      <t>2</t>
    </r>
    <r>
      <rPr>
        <sz val="10"/>
        <rFont val="宋体"/>
        <charset val="134"/>
      </rPr>
      <t>）</t>
    </r>
    <r>
      <rPr>
        <sz val="10"/>
        <rFont val="Times New Roman"/>
        <charset val="134"/>
      </rPr>
      <t xml:space="preserve"> </t>
    </r>
    <r>
      <rPr>
        <sz val="10"/>
        <rFont val="宋体"/>
        <charset val="134"/>
      </rPr>
      <t>香港详细提货地址（如需代为提货）及联系人：</t>
    </r>
    <r>
      <rPr>
        <sz val="10"/>
        <rFont val="Times New Roman"/>
        <charset val="134"/>
      </rPr>
      <t xml:space="preserve"> Flat 25, 1/F, Block B, Proficient Industrial Centre,6 Wang Kwun Road, Kowloon Bay, Kowloon, Hong Kong  852- 3971 0823 </t>
    </r>
    <r>
      <rPr>
        <sz val="10"/>
        <rFont val="宋体"/>
        <charset val="134"/>
      </rPr>
      <t>，</t>
    </r>
    <r>
      <rPr>
        <sz val="10"/>
        <rFont val="Times New Roman"/>
        <charset val="134"/>
      </rPr>
      <t>MING</t>
    </r>
  </si>
  <si>
    <r>
      <rPr>
        <sz val="10"/>
        <rFont val="Times New Roman"/>
        <charset val="134"/>
      </rPr>
      <t xml:space="preserve">     </t>
    </r>
    <r>
      <rPr>
        <sz val="10"/>
        <rFont val="宋体"/>
        <charset val="134"/>
      </rPr>
      <t>国内详细收货地址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收货人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电话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运输方式：</t>
    </r>
    <r>
      <rPr>
        <sz val="10"/>
        <rFont val="Times New Roman"/>
        <charset val="134"/>
      </rPr>
      <t xml:space="preserve"> </t>
    </r>
    <r>
      <rPr>
        <sz val="10"/>
        <rFont val="宋体"/>
        <charset val="134"/>
      </rPr>
      <t>深圳市龙华区观澜街道新澜社区松泰科技园</t>
    </r>
    <r>
      <rPr>
        <sz val="10"/>
        <rFont val="Times New Roman"/>
        <charset val="134"/>
      </rPr>
      <t>C</t>
    </r>
    <r>
      <rPr>
        <sz val="10"/>
        <rFont val="宋体"/>
        <charset val="134"/>
      </rPr>
      <t>栋</t>
    </r>
    <r>
      <rPr>
        <sz val="10"/>
        <rFont val="Times New Roman"/>
        <charset val="134"/>
      </rPr>
      <t>4</t>
    </r>
    <r>
      <rPr>
        <sz val="10"/>
        <rFont val="宋体"/>
        <charset val="134"/>
      </rPr>
      <t>楼</t>
    </r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英堡科技（深圳）有限公司，刘键，</t>
    </r>
    <r>
      <rPr>
        <sz val="10"/>
        <rFont val="Times New Roman"/>
        <charset val="134"/>
      </rPr>
      <t>15107548310</t>
    </r>
  </si>
  <si>
    <r>
      <rPr>
        <sz val="10"/>
        <rFont val="Times New Roman"/>
        <charset val="134"/>
      </rPr>
      <t xml:space="preserve">       </t>
    </r>
    <r>
      <rPr>
        <sz val="10"/>
        <rFont val="宋体"/>
        <charset val="134"/>
      </rPr>
      <t>为了确保您的货物安全到达，请填写收货人身份证号：英堡科技（深圳）有限公司公章签收</t>
    </r>
  </si>
  <si>
    <r>
      <rPr>
        <sz val="10"/>
        <rFont val="Times New Roman"/>
        <charset val="134"/>
      </rPr>
      <t>3</t>
    </r>
    <r>
      <rPr>
        <sz val="10"/>
        <rFont val="宋体"/>
        <charset val="134"/>
      </rPr>
      <t>）</t>
    </r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客户特别要求（备注）：</t>
    </r>
  </si>
  <si>
    <t>委托方签字并盖章确认：</t>
  </si>
  <si>
    <t>黎浩铭</t>
  </si>
  <si>
    <t>Authorized Signature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</si>
</sst>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);[Red]\(#,##0.00\)"/>
    <numFmt numFmtId="177" formatCode="0.00_ "/>
    <numFmt numFmtId="178" formatCode="#,##0_ "/>
    <numFmt numFmtId="179" formatCode="_-\$* #,##0.00_ ;_-\$* \-#,##0.00\ ;_-\$* &quot;-&quot;??_ ;_-@_ "/>
  </numFmts>
  <fonts count="29">
    <font>
      <sz val="12"/>
      <name val="宋体"/>
      <charset val="134"/>
    </font>
    <font>
      <b/>
      <sz val="10"/>
      <name val="Times New Roman"/>
      <charset val="134"/>
    </font>
    <font>
      <b/>
      <sz val="10"/>
      <name val="宋体"/>
      <charset val="134"/>
    </font>
    <font>
      <sz val="10"/>
      <name val="宋体"/>
      <charset val="134"/>
    </font>
    <font>
      <b/>
      <sz val="10"/>
      <color indexed="10"/>
      <name val="宋体"/>
      <charset val="134"/>
    </font>
    <font>
      <sz val="10"/>
      <name val="Wingdings 2"/>
      <charset val="2"/>
    </font>
    <font>
      <b/>
      <sz val="10"/>
      <color theme="1"/>
      <name val="宋体"/>
      <charset val="134"/>
    </font>
    <font>
      <sz val="8"/>
      <name val="宋体"/>
      <charset val="134"/>
    </font>
    <font>
      <sz val="10"/>
      <name val="Times New Roma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3" borderId="14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17" applyNumberFormat="0" applyAlignment="0" applyProtection="0">
      <alignment vertical="center"/>
    </xf>
    <xf numFmtId="0" fontId="19" fillId="5" borderId="18" applyNumberFormat="0" applyAlignment="0" applyProtection="0">
      <alignment vertical="center"/>
    </xf>
    <xf numFmtId="0" fontId="20" fillId="5" borderId="17" applyNumberFormat="0" applyAlignment="0" applyProtection="0">
      <alignment vertical="center"/>
    </xf>
    <xf numFmtId="0" fontId="21" fillId="6" borderId="19" applyNumberFormat="0" applyAlignment="0" applyProtection="0">
      <alignment vertical="center"/>
    </xf>
    <xf numFmtId="0" fontId="22" fillId="0" borderId="20" applyNumberFormat="0" applyFill="0" applyAlignment="0" applyProtection="0">
      <alignment vertical="center"/>
    </xf>
    <xf numFmtId="0" fontId="23" fillId="0" borderId="21" applyNumberFormat="0" applyFill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</cellStyleXfs>
  <cellXfs count="4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176" fontId="3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177" fontId="2" fillId="0" borderId="0" xfId="0" applyNumberFormat="1" applyFont="1" applyAlignment="1">
      <alignment vertical="center"/>
    </xf>
    <xf numFmtId="58" fontId="3" fillId="0" borderId="0" xfId="0" applyNumberFormat="1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58" fontId="3" fillId="2" borderId="0" xfId="0" applyNumberFormat="1" applyFont="1" applyFill="1" applyAlignment="1">
      <alignment vertical="center"/>
    </xf>
    <xf numFmtId="177" fontId="3" fillId="0" borderId="0" xfId="0" applyNumberFormat="1" applyFont="1" applyAlignment="1">
      <alignment vertical="center"/>
    </xf>
    <xf numFmtId="0" fontId="5" fillId="2" borderId="0" xfId="0" applyFont="1" applyFill="1" applyAlignment="1">
      <alignment vertical="center"/>
    </xf>
    <xf numFmtId="0" fontId="2" fillId="0" borderId="2" xfId="0" applyFont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176" fontId="2" fillId="2" borderId="3" xfId="0" applyNumberFormat="1" applyFont="1" applyFill="1" applyBorder="1" applyAlignment="1">
      <alignment horizontal="center" vertical="center" wrapText="1"/>
    </xf>
    <xf numFmtId="177" fontId="2" fillId="2" borderId="3" xfId="0" applyNumberFormat="1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178" fontId="3" fillId="0" borderId="6" xfId="0" applyNumberFormat="1" applyFont="1" applyBorder="1" applyAlignment="1">
      <alignment horizontal="center" vertical="center"/>
    </xf>
    <xf numFmtId="176" fontId="3" fillId="0" borderId="6" xfId="0" applyNumberFormat="1" applyFont="1" applyBorder="1" applyAlignment="1">
      <alignment horizontal="center" vertical="center"/>
    </xf>
    <xf numFmtId="179" fontId="3" fillId="0" borderId="6" xfId="0" applyNumberFormat="1" applyFont="1" applyBorder="1" applyAlignment="1">
      <alignment horizontal="center" vertical="center"/>
    </xf>
    <xf numFmtId="58" fontId="2" fillId="0" borderId="6" xfId="0" applyNumberFormat="1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right" vertical="center"/>
    </xf>
    <xf numFmtId="0" fontId="2" fillId="0" borderId="9" xfId="0" applyFont="1" applyBorder="1" applyAlignment="1">
      <alignment horizontal="right" vertical="center"/>
    </xf>
    <xf numFmtId="0" fontId="2" fillId="0" borderId="10" xfId="0" applyFont="1" applyBorder="1" applyAlignment="1">
      <alignment horizontal="right" vertical="center"/>
    </xf>
    <xf numFmtId="178" fontId="2" fillId="0" borderId="11" xfId="0" applyNumberFormat="1" applyFont="1" applyBorder="1" applyAlignment="1">
      <alignment horizontal="center" vertical="center"/>
    </xf>
    <xf numFmtId="176" fontId="2" fillId="0" borderId="11" xfId="0" applyNumberFormat="1" applyFont="1" applyBorder="1" applyAlignment="1">
      <alignment horizontal="center" vertical="center"/>
    </xf>
    <xf numFmtId="179" fontId="3" fillId="0" borderId="12" xfId="0" applyNumberFormat="1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3" fillId="0" borderId="5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3" fillId="2" borderId="0" xfId="0" applyFont="1" applyFill="1" applyAlignment="1">
      <alignment vertical="center"/>
    </xf>
    <xf numFmtId="0" fontId="3" fillId="0" borderId="0" xfId="0" applyFont="1" applyAlignment="1">
      <alignment vertical="center" wrapText="1"/>
    </xf>
    <xf numFmtId="0" fontId="8" fillId="0" borderId="0" xfId="0" applyFont="1" applyAlignment="1">
      <alignment horizontal="left" vertical="center" wrapText="1"/>
    </xf>
    <xf numFmtId="0" fontId="8" fillId="2" borderId="0" xfId="0" applyFont="1" applyFill="1" applyAlignment="1">
      <alignment horizontal="left" vertical="top" wrapText="1"/>
    </xf>
    <xf numFmtId="0" fontId="8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O19"/>
  <sheetViews>
    <sheetView tabSelected="1" workbookViewId="0">
      <selection activeCell="D25" sqref="D25"/>
    </sheetView>
  </sheetViews>
  <sheetFormatPr defaultColWidth="9" defaultRowHeight="14.25"/>
  <cols>
    <col min="4" max="4" width="23.25" customWidth="1"/>
    <col min="5" max="5" width="26.5" customWidth="1"/>
    <col min="10" max="10" width="14.875" customWidth="1"/>
    <col min="260" max="260" width="23.25" customWidth="1"/>
    <col min="261" max="261" width="26.5" customWidth="1"/>
    <col min="266" max="266" width="14.875" customWidth="1"/>
    <col min="516" max="516" width="23.25" customWidth="1"/>
    <col min="517" max="517" width="26.5" customWidth="1"/>
    <col min="522" max="522" width="14.875" customWidth="1"/>
    <col min="772" max="772" width="23.25" customWidth="1"/>
    <col min="773" max="773" width="26.5" customWidth="1"/>
    <col min="778" max="778" width="14.875" customWidth="1"/>
    <col min="1028" max="1028" width="23.25" customWidth="1"/>
    <col min="1029" max="1029" width="26.5" customWidth="1"/>
    <col min="1034" max="1034" width="14.875" customWidth="1"/>
    <col min="1284" max="1284" width="23.25" customWidth="1"/>
    <col min="1285" max="1285" width="26.5" customWidth="1"/>
    <col min="1290" max="1290" width="14.875" customWidth="1"/>
    <col min="1540" max="1540" width="23.25" customWidth="1"/>
    <col min="1541" max="1541" width="26.5" customWidth="1"/>
    <col min="1546" max="1546" width="14.875" customWidth="1"/>
    <col min="1796" max="1796" width="23.25" customWidth="1"/>
    <col min="1797" max="1797" width="26.5" customWidth="1"/>
    <col min="1802" max="1802" width="14.875" customWidth="1"/>
    <col min="2052" max="2052" width="23.25" customWidth="1"/>
    <col min="2053" max="2053" width="26.5" customWidth="1"/>
    <col min="2058" max="2058" width="14.875" customWidth="1"/>
    <col min="2308" max="2308" width="23.25" customWidth="1"/>
    <col min="2309" max="2309" width="26.5" customWidth="1"/>
    <col min="2314" max="2314" width="14.875" customWidth="1"/>
    <col min="2564" max="2564" width="23.25" customWidth="1"/>
    <col min="2565" max="2565" width="26.5" customWidth="1"/>
    <col min="2570" max="2570" width="14.875" customWidth="1"/>
    <col min="2820" max="2820" width="23.25" customWidth="1"/>
    <col min="2821" max="2821" width="26.5" customWidth="1"/>
    <col min="2826" max="2826" width="14.875" customWidth="1"/>
    <col min="3076" max="3076" width="23.25" customWidth="1"/>
    <col min="3077" max="3077" width="26.5" customWidth="1"/>
    <col min="3082" max="3082" width="14.875" customWidth="1"/>
    <col min="3332" max="3332" width="23.25" customWidth="1"/>
    <col min="3333" max="3333" width="26.5" customWidth="1"/>
    <col min="3338" max="3338" width="14.875" customWidth="1"/>
    <col min="3588" max="3588" width="23.25" customWidth="1"/>
    <col min="3589" max="3589" width="26.5" customWidth="1"/>
    <col min="3594" max="3594" width="14.875" customWidth="1"/>
    <col min="3844" max="3844" width="23.25" customWidth="1"/>
    <col min="3845" max="3845" width="26.5" customWidth="1"/>
    <col min="3850" max="3850" width="14.875" customWidth="1"/>
    <col min="4100" max="4100" width="23.25" customWidth="1"/>
    <col min="4101" max="4101" width="26.5" customWidth="1"/>
    <col min="4106" max="4106" width="14.875" customWidth="1"/>
    <col min="4356" max="4356" width="23.25" customWidth="1"/>
    <col min="4357" max="4357" width="26.5" customWidth="1"/>
    <col min="4362" max="4362" width="14.875" customWidth="1"/>
    <col min="4612" max="4612" width="23.25" customWidth="1"/>
    <col min="4613" max="4613" width="26.5" customWidth="1"/>
    <col min="4618" max="4618" width="14.875" customWidth="1"/>
    <col min="4868" max="4868" width="23.25" customWidth="1"/>
    <col min="4869" max="4869" width="26.5" customWidth="1"/>
    <col min="4874" max="4874" width="14.875" customWidth="1"/>
    <col min="5124" max="5124" width="23.25" customWidth="1"/>
    <col min="5125" max="5125" width="26.5" customWidth="1"/>
    <col min="5130" max="5130" width="14.875" customWidth="1"/>
    <col min="5380" max="5380" width="23.25" customWidth="1"/>
    <col min="5381" max="5381" width="26.5" customWidth="1"/>
    <col min="5386" max="5386" width="14.875" customWidth="1"/>
    <col min="5636" max="5636" width="23.25" customWidth="1"/>
    <col min="5637" max="5637" width="26.5" customWidth="1"/>
    <col min="5642" max="5642" width="14.875" customWidth="1"/>
    <col min="5892" max="5892" width="23.25" customWidth="1"/>
    <col min="5893" max="5893" width="26.5" customWidth="1"/>
    <col min="5898" max="5898" width="14.875" customWidth="1"/>
    <col min="6148" max="6148" width="23.25" customWidth="1"/>
    <col min="6149" max="6149" width="26.5" customWidth="1"/>
    <col min="6154" max="6154" width="14.875" customWidth="1"/>
    <col min="6404" max="6404" width="23.25" customWidth="1"/>
    <col min="6405" max="6405" width="26.5" customWidth="1"/>
    <col min="6410" max="6410" width="14.875" customWidth="1"/>
    <col min="6660" max="6660" width="23.25" customWidth="1"/>
    <col min="6661" max="6661" width="26.5" customWidth="1"/>
    <col min="6666" max="6666" width="14.875" customWidth="1"/>
    <col min="6916" max="6916" width="23.25" customWidth="1"/>
    <col min="6917" max="6917" width="26.5" customWidth="1"/>
    <col min="6922" max="6922" width="14.875" customWidth="1"/>
    <col min="7172" max="7172" width="23.25" customWidth="1"/>
    <col min="7173" max="7173" width="26.5" customWidth="1"/>
    <col min="7178" max="7178" width="14.875" customWidth="1"/>
    <col min="7428" max="7428" width="23.25" customWidth="1"/>
    <col min="7429" max="7429" width="26.5" customWidth="1"/>
    <col min="7434" max="7434" width="14.875" customWidth="1"/>
    <col min="7684" max="7684" width="23.25" customWidth="1"/>
    <col min="7685" max="7685" width="26.5" customWidth="1"/>
    <col min="7690" max="7690" width="14.875" customWidth="1"/>
    <col min="7940" max="7940" width="23.25" customWidth="1"/>
    <col min="7941" max="7941" width="26.5" customWidth="1"/>
    <col min="7946" max="7946" width="14.875" customWidth="1"/>
    <col min="8196" max="8196" width="23.25" customWidth="1"/>
    <col min="8197" max="8197" width="26.5" customWidth="1"/>
    <col min="8202" max="8202" width="14.875" customWidth="1"/>
    <col min="8452" max="8452" width="23.25" customWidth="1"/>
    <col min="8453" max="8453" width="26.5" customWidth="1"/>
    <col min="8458" max="8458" width="14.875" customWidth="1"/>
    <col min="8708" max="8708" width="23.25" customWidth="1"/>
    <col min="8709" max="8709" width="26.5" customWidth="1"/>
    <col min="8714" max="8714" width="14.875" customWidth="1"/>
    <col min="8964" max="8964" width="23.25" customWidth="1"/>
    <col min="8965" max="8965" width="26.5" customWidth="1"/>
    <col min="8970" max="8970" width="14.875" customWidth="1"/>
    <col min="9220" max="9220" width="23.25" customWidth="1"/>
    <col min="9221" max="9221" width="26.5" customWidth="1"/>
    <col min="9226" max="9226" width="14.875" customWidth="1"/>
    <col min="9476" max="9476" width="23.25" customWidth="1"/>
    <col min="9477" max="9477" width="26.5" customWidth="1"/>
    <col min="9482" max="9482" width="14.875" customWidth="1"/>
    <col min="9732" max="9732" width="23.25" customWidth="1"/>
    <col min="9733" max="9733" width="26.5" customWidth="1"/>
    <col min="9738" max="9738" width="14.875" customWidth="1"/>
    <col min="9988" max="9988" width="23.25" customWidth="1"/>
    <col min="9989" max="9989" width="26.5" customWidth="1"/>
    <col min="9994" max="9994" width="14.875" customWidth="1"/>
    <col min="10244" max="10244" width="23.25" customWidth="1"/>
    <col min="10245" max="10245" width="26.5" customWidth="1"/>
    <col min="10250" max="10250" width="14.875" customWidth="1"/>
    <col min="10500" max="10500" width="23.25" customWidth="1"/>
    <col min="10501" max="10501" width="26.5" customWidth="1"/>
    <col min="10506" max="10506" width="14.875" customWidth="1"/>
    <col min="10756" max="10756" width="23.25" customWidth="1"/>
    <col min="10757" max="10757" width="26.5" customWidth="1"/>
    <col min="10762" max="10762" width="14.875" customWidth="1"/>
    <col min="11012" max="11012" width="23.25" customWidth="1"/>
    <col min="11013" max="11013" width="26.5" customWidth="1"/>
    <col min="11018" max="11018" width="14.875" customWidth="1"/>
    <col min="11268" max="11268" width="23.25" customWidth="1"/>
    <col min="11269" max="11269" width="26.5" customWidth="1"/>
    <col min="11274" max="11274" width="14.875" customWidth="1"/>
    <col min="11524" max="11524" width="23.25" customWidth="1"/>
    <col min="11525" max="11525" width="26.5" customWidth="1"/>
    <col min="11530" max="11530" width="14.875" customWidth="1"/>
    <col min="11780" max="11780" width="23.25" customWidth="1"/>
    <col min="11781" max="11781" width="26.5" customWidth="1"/>
    <col min="11786" max="11786" width="14.875" customWidth="1"/>
    <col min="12036" max="12036" width="23.25" customWidth="1"/>
    <col min="12037" max="12037" width="26.5" customWidth="1"/>
    <col min="12042" max="12042" width="14.875" customWidth="1"/>
    <col min="12292" max="12292" width="23.25" customWidth="1"/>
    <col min="12293" max="12293" width="26.5" customWidth="1"/>
    <col min="12298" max="12298" width="14.875" customWidth="1"/>
    <col min="12548" max="12548" width="23.25" customWidth="1"/>
    <col min="12549" max="12549" width="26.5" customWidth="1"/>
    <col min="12554" max="12554" width="14.875" customWidth="1"/>
    <col min="12804" max="12804" width="23.25" customWidth="1"/>
    <col min="12805" max="12805" width="26.5" customWidth="1"/>
    <col min="12810" max="12810" width="14.875" customWidth="1"/>
    <col min="13060" max="13060" width="23.25" customWidth="1"/>
    <col min="13061" max="13061" width="26.5" customWidth="1"/>
    <col min="13066" max="13066" width="14.875" customWidth="1"/>
    <col min="13316" max="13316" width="23.25" customWidth="1"/>
    <col min="13317" max="13317" width="26.5" customWidth="1"/>
    <col min="13322" max="13322" width="14.875" customWidth="1"/>
    <col min="13572" max="13572" width="23.25" customWidth="1"/>
    <col min="13573" max="13573" width="26.5" customWidth="1"/>
    <col min="13578" max="13578" width="14.875" customWidth="1"/>
    <col min="13828" max="13828" width="23.25" customWidth="1"/>
    <col min="13829" max="13829" width="26.5" customWidth="1"/>
    <col min="13834" max="13834" width="14.875" customWidth="1"/>
    <col min="14084" max="14084" width="23.25" customWidth="1"/>
    <col min="14085" max="14085" width="26.5" customWidth="1"/>
    <col min="14090" max="14090" width="14.875" customWidth="1"/>
    <col min="14340" max="14340" width="23.25" customWidth="1"/>
    <col min="14341" max="14341" width="26.5" customWidth="1"/>
    <col min="14346" max="14346" width="14.875" customWidth="1"/>
    <col min="14596" max="14596" width="23.25" customWidth="1"/>
    <col min="14597" max="14597" width="26.5" customWidth="1"/>
    <col min="14602" max="14602" width="14.875" customWidth="1"/>
    <col min="14852" max="14852" width="23.25" customWidth="1"/>
    <col min="14853" max="14853" width="26.5" customWidth="1"/>
    <col min="14858" max="14858" width="14.875" customWidth="1"/>
    <col min="15108" max="15108" width="23.25" customWidth="1"/>
    <col min="15109" max="15109" width="26.5" customWidth="1"/>
    <col min="15114" max="15114" width="14.875" customWidth="1"/>
    <col min="15364" max="15364" width="23.25" customWidth="1"/>
    <col min="15365" max="15365" width="26.5" customWidth="1"/>
    <col min="15370" max="15370" width="14.875" customWidth="1"/>
    <col min="15620" max="15620" width="23.25" customWidth="1"/>
    <col min="15621" max="15621" width="26.5" customWidth="1"/>
    <col min="15626" max="15626" width="14.875" customWidth="1"/>
    <col min="15876" max="15876" width="23.25" customWidth="1"/>
    <col min="15877" max="15877" width="26.5" customWidth="1"/>
    <col min="15882" max="15882" width="14.875" customWidth="1"/>
    <col min="16132" max="16132" width="23.25" customWidth="1"/>
    <col min="16133" max="16133" width="26.5" customWidth="1"/>
    <col min="16138" max="16138" width="14.875" customWidth="1"/>
  </cols>
  <sheetData>
    <row r="1" ht="29.25" customHeight="1" spans="1:1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5"/>
    </row>
    <row r="2" ht="29.25" customHeight="1" spans="1:1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4"/>
      <c r="O2" s="6"/>
    </row>
    <row r="3" spans="1:15">
      <c r="A3" s="7" t="s">
        <v>2</v>
      </c>
      <c r="B3" s="8" t="s">
        <v>3</v>
      </c>
      <c r="C3" s="9"/>
      <c r="D3" s="9"/>
      <c r="E3" s="10"/>
      <c r="F3" s="10"/>
      <c r="G3" s="6"/>
      <c r="H3" s="6"/>
      <c r="I3" s="11"/>
      <c r="J3" s="12" t="s">
        <v>4</v>
      </c>
      <c r="K3" s="13" t="s">
        <v>5</v>
      </c>
      <c r="L3" s="14"/>
      <c r="M3" s="15"/>
      <c r="N3" s="15"/>
      <c r="O3" s="6"/>
    </row>
    <row r="4" spans="1:15">
      <c r="A4" s="5" t="s">
        <v>6</v>
      </c>
      <c r="B4" s="9" t="s">
        <v>7</v>
      </c>
      <c r="C4" s="10"/>
      <c r="D4" s="10"/>
      <c r="E4" s="10"/>
      <c r="F4" s="10"/>
      <c r="G4" s="6"/>
      <c r="H4" s="6"/>
      <c r="I4" s="11"/>
      <c r="J4" s="12" t="s">
        <v>8</v>
      </c>
      <c r="K4" s="16">
        <v>46002</v>
      </c>
      <c r="L4" s="6"/>
      <c r="M4" s="17"/>
      <c r="N4" s="6"/>
      <c r="O4" s="6"/>
    </row>
    <row r="5" ht="15" spans="1:15">
      <c r="A5" s="6" t="s">
        <v>9</v>
      </c>
      <c r="B5" s="9"/>
      <c r="C5" s="18" t="s">
        <v>10</v>
      </c>
      <c r="D5" s="6"/>
      <c r="E5" s="6"/>
      <c r="F5" s="10"/>
      <c r="G5" s="6"/>
      <c r="H5" s="6" t="s">
        <v>11</v>
      </c>
      <c r="I5" s="11"/>
      <c r="J5" s="6"/>
      <c r="K5" s="6"/>
      <c r="L5" s="6" t="s">
        <v>12</v>
      </c>
      <c r="M5" s="17"/>
      <c r="N5" s="6" t="s">
        <v>13</v>
      </c>
      <c r="O5" s="6"/>
    </row>
    <row r="6" s="1" customFormat="1" ht="27" spans="1:15">
      <c r="A6" s="19" t="s">
        <v>14</v>
      </c>
      <c r="B6" s="20" t="s">
        <v>15</v>
      </c>
      <c r="C6" s="20" t="s">
        <v>16</v>
      </c>
      <c r="D6" s="20" t="s">
        <v>17</v>
      </c>
      <c r="E6" s="20" t="s">
        <v>18</v>
      </c>
      <c r="F6" s="20" t="s">
        <v>19</v>
      </c>
      <c r="G6" s="20" t="s">
        <v>20</v>
      </c>
      <c r="H6" s="20" t="s">
        <v>21</v>
      </c>
      <c r="I6" s="21" t="s">
        <v>22</v>
      </c>
      <c r="J6" s="20" t="s">
        <v>23</v>
      </c>
      <c r="K6" s="20" t="s">
        <v>24</v>
      </c>
      <c r="L6" s="20" t="s">
        <v>25</v>
      </c>
      <c r="M6" s="22" t="s">
        <v>26</v>
      </c>
      <c r="N6" s="23" t="s">
        <v>27</v>
      </c>
      <c r="O6" s="24" t="s">
        <v>28</v>
      </c>
    </row>
    <row r="7" s="1" customFormat="1" ht="41.25" customHeight="1" spans="1:15">
      <c r="A7" s="25">
        <v>1</v>
      </c>
      <c r="B7" s="25" t="s">
        <v>29</v>
      </c>
      <c r="C7" s="25" t="s">
        <v>30</v>
      </c>
      <c r="D7" s="25" t="s">
        <v>31</v>
      </c>
      <c r="E7" s="26" t="s">
        <v>32</v>
      </c>
      <c r="F7" s="25" t="s">
        <v>33</v>
      </c>
      <c r="G7" s="25" t="s">
        <v>34</v>
      </c>
      <c r="H7" s="27">
        <v>12081</v>
      </c>
      <c r="I7" s="28">
        <v>4.1</v>
      </c>
      <c r="J7" s="29">
        <f>H7*I7</f>
        <v>49532.1</v>
      </c>
      <c r="K7" s="25">
        <v>1</v>
      </c>
      <c r="L7" s="25">
        <v>3.6</v>
      </c>
      <c r="M7" s="25">
        <v>4.2</v>
      </c>
      <c r="N7" s="30"/>
      <c r="O7" s="31"/>
    </row>
    <row r="8" s="1" customFormat="1" ht="41.25" customHeight="1" spans="1:15">
      <c r="A8" s="25">
        <v>2</v>
      </c>
      <c r="B8" s="25" t="s">
        <v>29</v>
      </c>
      <c r="C8" s="25" t="s">
        <v>30</v>
      </c>
      <c r="D8" s="25" t="s">
        <v>35</v>
      </c>
      <c r="E8" s="26" t="s">
        <v>32</v>
      </c>
      <c r="F8" s="25" t="s">
        <v>33</v>
      </c>
      <c r="G8" s="25" t="s">
        <v>34</v>
      </c>
      <c r="H8" s="27">
        <v>16054</v>
      </c>
      <c r="I8" s="28">
        <v>2.9</v>
      </c>
      <c r="J8" s="29">
        <f>H8*I8</f>
        <v>46556.6</v>
      </c>
      <c r="K8" s="25">
        <v>1</v>
      </c>
      <c r="L8" s="25">
        <v>4.4</v>
      </c>
      <c r="M8" s="25">
        <v>5</v>
      </c>
      <c r="N8" s="30"/>
      <c r="O8" s="31"/>
    </row>
    <row r="9" ht="15.75" spans="1:15">
      <c r="A9" s="32" t="s">
        <v>36</v>
      </c>
      <c r="B9" s="33"/>
      <c r="C9" s="33"/>
      <c r="D9" s="33"/>
      <c r="E9" s="33"/>
      <c r="F9" s="33"/>
      <c r="G9" s="34"/>
      <c r="H9" s="35">
        <f>SUM(H7:H8)</f>
        <v>28135</v>
      </c>
      <c r="I9" s="36"/>
      <c r="J9" s="37">
        <f>SUM(J7:J8)</f>
        <v>96088.7</v>
      </c>
      <c r="K9" s="38">
        <f>SUM(K7:K8)</f>
        <v>2</v>
      </c>
      <c r="L9" s="38">
        <f>SUM(L7:L8)</f>
        <v>8</v>
      </c>
      <c r="M9" s="38">
        <f>SUM(M7:M8)</f>
        <v>9.2</v>
      </c>
      <c r="N9" s="39"/>
      <c r="O9" s="40"/>
    </row>
    <row r="10" ht="15" spans="1:15">
      <c r="A10" s="6" t="s">
        <v>37</v>
      </c>
      <c r="B10" s="41" t="s">
        <v>38</v>
      </c>
      <c r="C10" s="6"/>
      <c r="D10" s="6"/>
      <c r="E10" s="6"/>
      <c r="F10" s="6"/>
      <c r="G10" s="6" t="s">
        <v>39</v>
      </c>
      <c r="H10" s="6"/>
      <c r="I10" s="11"/>
      <c r="J10" s="42" t="s">
        <v>40</v>
      </c>
      <c r="K10" s="6"/>
      <c r="L10" s="17"/>
      <c r="M10" s="6"/>
      <c r="N10" s="6"/>
      <c r="O10" s="6"/>
    </row>
    <row r="11" spans="1:15">
      <c r="A11" s="6"/>
      <c r="B11" s="41" t="s">
        <v>41</v>
      </c>
      <c r="C11" s="6"/>
      <c r="D11" s="6"/>
      <c r="E11" s="6"/>
      <c r="F11" s="6"/>
      <c r="G11" s="6" t="s">
        <v>42</v>
      </c>
      <c r="H11" s="6"/>
      <c r="I11" s="11"/>
      <c r="J11" s="42" t="s">
        <v>43</v>
      </c>
      <c r="K11" s="6"/>
      <c r="L11" s="17"/>
      <c r="M11" s="6" t="s">
        <v>44</v>
      </c>
      <c r="N11" s="6"/>
      <c r="O11" s="6"/>
    </row>
    <row r="12" spans="1:15">
      <c r="A12" s="6"/>
      <c r="B12" s="41" t="s">
        <v>45</v>
      </c>
      <c r="C12" s="6"/>
      <c r="D12" s="6"/>
      <c r="E12" s="6"/>
      <c r="F12" s="6"/>
      <c r="G12" s="6" t="s">
        <v>46</v>
      </c>
      <c r="H12" s="18" t="s">
        <v>47</v>
      </c>
      <c r="I12" s="11" t="s">
        <v>48</v>
      </c>
      <c r="J12" s="6" t="s">
        <v>49</v>
      </c>
      <c r="K12" s="6"/>
      <c r="L12" s="6" t="s">
        <v>50</v>
      </c>
      <c r="M12" s="6" t="s">
        <v>51</v>
      </c>
      <c r="N12" s="6"/>
      <c r="O12" s="6"/>
    </row>
    <row r="13" spans="1:15">
      <c r="A13" s="43"/>
      <c r="B13" s="44" t="s">
        <v>52</v>
      </c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3"/>
    </row>
    <row r="14" spans="1:15">
      <c r="A14" s="43"/>
      <c r="B14" s="45" t="s">
        <v>53</v>
      </c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3"/>
    </row>
    <row r="15" spans="1:15">
      <c r="A15" s="6"/>
      <c r="B15" s="46" t="s">
        <v>54</v>
      </c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6"/>
    </row>
    <row r="16" spans="1:15">
      <c r="A16" s="6"/>
      <c r="B16" s="41" t="s">
        <v>55</v>
      </c>
      <c r="C16" s="6"/>
      <c r="D16" s="6"/>
      <c r="E16" s="6"/>
      <c r="F16" s="6"/>
      <c r="G16" s="6"/>
      <c r="H16" s="47"/>
      <c r="I16" s="47"/>
      <c r="J16" s="47"/>
      <c r="K16" s="47"/>
      <c r="L16" s="47"/>
      <c r="M16" s="47"/>
      <c r="N16" s="47"/>
      <c r="O16" s="6"/>
    </row>
    <row r="17" spans="1:15">
      <c r="A17" s="6"/>
      <c r="B17" s="6" t="s">
        <v>56</v>
      </c>
      <c r="C17" s="6"/>
      <c r="D17" s="6" t="s">
        <v>57</v>
      </c>
      <c r="E17" s="6"/>
      <c r="F17" s="6"/>
      <c r="G17" s="6"/>
      <c r="H17" s="6"/>
      <c r="I17" s="11"/>
      <c r="J17" s="6"/>
      <c r="K17" s="6"/>
      <c r="L17" s="6"/>
      <c r="M17" s="17"/>
      <c r="N17" s="6"/>
      <c r="O17" s="6"/>
    </row>
    <row r="18" spans="1:15">
      <c r="A18" s="6"/>
      <c r="B18" s="41" t="s">
        <v>58</v>
      </c>
      <c r="C18" s="6"/>
      <c r="D18" s="6"/>
      <c r="E18" s="6"/>
      <c r="F18" s="6"/>
      <c r="G18" s="6"/>
      <c r="H18" s="6"/>
      <c r="I18" s="11"/>
      <c r="J18" s="6"/>
      <c r="K18" s="6"/>
      <c r="L18" s="6"/>
      <c r="M18" s="17"/>
      <c r="N18" s="6"/>
      <c r="O18" s="6"/>
    </row>
    <row r="19" spans="1:15">
      <c r="A19" s="6"/>
      <c r="B19" s="6"/>
      <c r="C19" s="6"/>
      <c r="D19" s="6"/>
      <c r="E19" s="6"/>
      <c r="F19" s="6"/>
      <c r="G19" s="6"/>
      <c r="H19" s="6"/>
      <c r="I19" s="11"/>
      <c r="J19" s="6"/>
      <c r="K19" s="6"/>
      <c r="L19" s="6"/>
      <c r="M19" s="17"/>
      <c r="N19" s="6"/>
      <c r="O19" s="6"/>
    </row>
  </sheetData>
  <mergeCells count="9">
    <mergeCell ref="A1:N1"/>
    <mergeCell ref="A2:N2"/>
    <mergeCell ref="M3:N3"/>
    <mergeCell ref="A9:G9"/>
    <mergeCell ref="B12:C12"/>
    <mergeCell ref="B13:N13"/>
    <mergeCell ref="B14:N14"/>
    <mergeCell ref="B15:N15"/>
    <mergeCell ref="H16:N16"/>
  </mergeCells>
  <pageMargins left="0.7" right="0.7" top="0.75" bottom="0.75" header="0.3" footer="0.3"/>
  <pageSetup paperSize="9" scale="71" orientation="landscape" horizontalDpi="360" verticalDpi="36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12-10-2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HuangXiaoLing</dc:creator>
  <cp:lastModifiedBy>负一加三</cp:lastModifiedBy>
  <dcterms:created xsi:type="dcterms:W3CDTF">2025-12-11T03:32:16Z</dcterms:created>
  <dcterms:modified xsi:type="dcterms:W3CDTF">2025-12-11T03:32:40Z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ED0471AD2D5247FFA59B51534E8522CF_11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